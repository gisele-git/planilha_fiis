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Gisele\Documents\Santander Excel com IA e Claude\Investimentos\"/>
    </mc:Choice>
  </mc:AlternateContent>
  <xr:revisionPtr revIDLastSave="0" documentId="13_ncr:1_{02BA763C-2A34-4911-8B57-0CB9C7BF70A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incipal" sheetId="1" r:id="rId1"/>
    <sheet name="Apoio" sheetId="2" r:id="rId2"/>
  </sheets>
  <definedNames>
    <definedName name="aporte">Principal!$D$10:$D$10</definedName>
    <definedName name="dividendos">Principal!$D$14:$D$14</definedName>
    <definedName name="patrimonio">Principal!$D$13:$D$13</definedName>
    <definedName name="qtd_anos">Principal!$D$11:$D$11</definedName>
    <definedName name="rendimento_carteira">Principal!$D$6:$D$6</definedName>
    <definedName name="salario">Principal!$D$5:$D$5</definedName>
    <definedName name="sugestao_investimento">Principal!$D$7:$D$7</definedName>
    <definedName name="taxa_mensal">Principal!$D$12:$D$12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C32" i="1"/>
  <c r="C27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D24" i="1" a="1"/>
  <c r="D24" i="1"/>
  <c r="C18" i="1" a="1"/>
  <c r="C18" i="1"/>
  <c r="C19" i="1" a="1"/>
  <c r="C19" i="1"/>
  <c r="C20" i="1" a="1"/>
  <c r="C20" i="1"/>
  <c r="C21" i="1" a="1"/>
  <c r="C21" i="1"/>
  <c r="C17" i="1" a="1"/>
  <c r="C17" i="1"/>
  <c r="D7" i="1" a="1"/>
  <c r="D7" i="1"/>
  <c r="D13" i="1" a="1"/>
  <c r="D13" i="1"/>
  <c r="D14" i="1" s="1" a="1"/>
  <c r="D14" i="1" s="1"/>
  <c r="D18" i="1" a="1"/>
  <c r="D18" i="1" s="1"/>
  <c r="D19" i="1" a="1"/>
  <c r="D19" i="1" s="1"/>
  <c r="D20" i="1" a="1"/>
  <c r="D20" i="1" s="1"/>
  <c r="D21" i="1" a="1"/>
  <c r="D21" i="1" s="1"/>
  <c r="D17" i="1" a="1"/>
  <c r="D17" i="1" s="1"/>
  <c r="D28" i="1" l="1"/>
  <c r="D29" i="1"/>
  <c r="D30" i="1"/>
  <c r="D31" i="1"/>
  <c r="D32" i="1"/>
  <c r="D27" i="1"/>
  <c r="D33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<sst xmlns="http://schemas.openxmlformats.org/spreadsheetml/2006/main" count="70" uniqueCount="34">
  <si>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>Configurações</t>
  </si>
  <si>
    <t>Salário</t>
  </si>
  <si>
    <t>Rendimento carteira</t>
  </si>
  <si>
    <t>Sugestão Investimento (30%)</t>
  </si>
  <si>
    <t>Investimento Mensal</t>
  </si>
  <si>
    <t xml:space="preserve">Quanto investir por mês? 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</si>
  <si>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</si>
  <si>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</si>
  <si>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</si>
  <si>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</si>
  <si>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</si>
  <si>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</si>
  <si>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</si>
  <si>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</si>
  <si>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</si>
  <si>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</si>
  <si>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</si>
  <si>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</si>
  <si>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</si>
  <si>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</si>
  <si>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</si>
  <si>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</si>
  <si>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</si>
  <si>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</si>
  <si>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</si>
  <si>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</si>
  <si>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</si>
  <si>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</si>
  <si>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</si>
  <si>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Soma</t>
  </si>
  <si>
    <t>Chave</t>
  </si>
  <si>
    <t>%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</si>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</sst>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9C5700"/>
      <name val="Aptos Narrow"/>
      <scheme val="minor"/>
    </font>
    <font>
      <sz val="12"/>
      <color rgb="FF9C5700"/>
      <name val="Aptos Narrow"/>
      <scheme val="minor"/>
    </font>
    <font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3" tint="0.249977111117893"/>
        <bgColor indexed="64"/>
      </patternFill>
    </fill>
  </fills>
  <borders count="4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2"/>
      </bottom>
      <diagonal/>
    </border>
    <border>
      <left style="thin">
        <color theme="2"/>
      </left>
      <right style="thin">
        <color theme="2"/>
      </right>
      <top style="thin">
        <color theme="0"/>
      </top>
      <bottom style="thin">
        <color theme="2"/>
      </bottom>
      <diagonal/>
    </border>
    <border>
      <left/>
      <right/>
      <top style="thin">
        <color theme="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0.89999084444715716"/>
      </left>
      <right/>
      <top style="medium">
        <color theme="2" tint="-0.89999084444715716"/>
      </top>
      <bottom style="thin">
        <color theme="2"/>
      </bottom>
      <diagonal/>
    </border>
    <border>
      <left/>
      <right/>
      <top style="medium">
        <color theme="2" tint="-0.89999084444715716"/>
      </top>
      <bottom style="thin">
        <color theme="2"/>
      </bottom>
      <diagonal/>
    </border>
    <border>
      <left/>
      <right style="medium">
        <color theme="2" tint="-0.89999084444715716"/>
      </right>
      <top style="medium">
        <color theme="2" tint="-0.89999084444715716"/>
      </top>
      <bottom style="thin">
        <color theme="2"/>
      </bottom>
      <diagonal/>
    </border>
    <border>
      <left style="medium">
        <color theme="2" tint="-0.89999084444715716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2"/>
      </left>
      <right style="medium">
        <color theme="2" tint="-0.89999084444715716"/>
      </right>
      <top style="thin">
        <color theme="0"/>
      </top>
      <bottom style="thin">
        <color theme="2"/>
      </bottom>
      <diagonal/>
    </border>
    <border>
      <left style="medium">
        <color theme="2" tint="-0.89999084444715716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2" tint="-0.89999084444715716"/>
      </right>
      <top style="thin">
        <color theme="2"/>
      </top>
      <bottom style="thin">
        <color theme="2"/>
      </bottom>
      <diagonal/>
    </border>
    <border>
      <left style="medium">
        <color theme="2" tint="-0.89999084444715716"/>
      </left>
      <right style="thin">
        <color theme="2"/>
      </right>
      <top style="thin">
        <color theme="2"/>
      </top>
      <bottom style="medium">
        <color theme="2"/>
      </bottom>
      <diagonal/>
    </border>
    <border>
      <left style="thin">
        <color theme="2"/>
      </left>
      <right style="medium">
        <color theme="2" tint="-0.89999084444715716"/>
      </right>
      <top style="thin">
        <color theme="2"/>
      </top>
      <bottom style="medium">
        <color theme="2"/>
      </bottom>
      <diagonal/>
    </border>
    <border>
      <left style="medium">
        <color theme="2" tint="-0.89999084444715716"/>
      </left>
      <right style="thin">
        <color theme="2"/>
      </right>
      <top style="thin">
        <color theme="2"/>
      </top>
      <bottom style="medium">
        <color theme="2" tint="-0.89999084444715716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2" tint="-0.89999084444715716"/>
      </bottom>
      <diagonal/>
    </border>
    <border>
      <left style="thin">
        <color theme="2"/>
      </left>
      <right style="medium">
        <color theme="2" tint="-0.89999084444715716"/>
      </right>
      <top style="thin">
        <color theme="2"/>
      </top>
      <bottom style="medium">
        <color theme="2" tint="-0.89999084444715716"/>
      </bottom>
      <diagonal/>
    </border>
    <border>
      <left style="medium">
        <color theme="2" tint="-0.89999084444715716"/>
      </left>
      <right style="thin">
        <color theme="0"/>
      </right>
      <top style="medium">
        <color theme="2" tint="-0.89999084444715716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2" tint="-0.89999084444715716"/>
      </top>
      <bottom style="thin">
        <color theme="0"/>
      </bottom>
      <diagonal/>
    </border>
    <border>
      <left style="thin">
        <color theme="0"/>
      </left>
      <right style="medium">
        <color theme="2" tint="-0.89999084444715716"/>
      </right>
      <top style="medium">
        <color theme="2" tint="-0.89999084444715716"/>
      </top>
      <bottom style="thin">
        <color theme="0"/>
      </bottom>
      <diagonal/>
    </border>
    <border>
      <left/>
      <right style="thin">
        <color theme="2"/>
      </right>
      <top style="medium">
        <color theme="2" tint="-0.89999084444715716"/>
      </top>
      <bottom style="thin">
        <color theme="2"/>
      </bottom>
      <diagonal/>
    </border>
    <border>
      <left style="thin">
        <color theme="2"/>
      </left>
      <right style="medium">
        <color theme="2" tint="-0.89999084444715716"/>
      </right>
      <top style="medium">
        <color theme="2" tint="-0.89999084444715716"/>
      </top>
      <bottom style="thin">
        <color theme="2"/>
      </bottom>
      <diagonal/>
    </border>
    <border>
      <left style="medium">
        <color theme="2"/>
      </left>
      <right style="medium">
        <color theme="2" tint="-0.89999084444715716"/>
      </right>
      <top style="thin">
        <color theme="0"/>
      </top>
      <bottom style="thin">
        <color theme="2"/>
      </bottom>
      <diagonal/>
    </border>
    <border>
      <left style="medium">
        <color theme="2" tint="-0.89999084444715716"/>
      </left>
      <right style="thin">
        <color theme="2"/>
      </right>
      <top style="thin">
        <color theme="0"/>
      </top>
      <bottom style="medium">
        <color theme="2" tint="-0.89999084444715716"/>
      </bottom>
      <diagonal/>
    </border>
    <border>
      <left style="thin">
        <color theme="2"/>
      </left>
      <right style="thin">
        <color theme="2"/>
      </right>
      <top style="thin">
        <color theme="0"/>
      </top>
      <bottom style="medium">
        <color theme="2" tint="-0.89999084444715716"/>
      </bottom>
      <diagonal/>
    </border>
    <border>
      <left style="medium">
        <color theme="2"/>
      </left>
      <right style="medium">
        <color theme="2" tint="-0.89999084444715716"/>
      </right>
      <top style="thin">
        <color theme="0"/>
      </top>
      <bottom style="medium">
        <color theme="2" tint="-0.89999084444715716"/>
      </bottom>
      <diagonal/>
    </border>
    <border>
      <left style="medium">
        <color theme="2" tint="-0.89999084444715716"/>
      </left>
      <right style="thin">
        <color theme="2" tint="-9.9978637043366805E-2"/>
      </right>
      <top style="medium">
        <color theme="2" tint="-0.89999084444715716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2" tint="-0.89999084444715716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0.89999084444715716"/>
      </right>
      <top style="medium">
        <color theme="2" tint="-0.89999084444715716"/>
      </top>
      <bottom style="thin">
        <color theme="2" tint="-9.9978637043366805E-2"/>
      </bottom>
      <diagonal/>
    </border>
    <border>
      <left style="medium">
        <color theme="2" tint="-0.89999084444715716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2" tint="-0.89999084444715716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0.89999084444715716"/>
      </left>
      <right style="thin">
        <color theme="2" tint="-9.9978637043366805E-2"/>
      </right>
      <top style="thin">
        <color theme="2" tint="-9.9978637043366805E-2"/>
      </top>
      <bottom style="medium">
        <color theme="2" tint="-0.89999084444715716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2" tint="-0.89999084444715716"/>
      </bottom>
      <diagonal/>
    </border>
    <border>
      <left style="thin">
        <color theme="2" tint="-9.9978637043366805E-2"/>
      </left>
      <right style="medium">
        <color theme="2" tint="-0.89999084444715716"/>
      </right>
      <top style="thin">
        <color theme="2" tint="-9.9978637043366805E-2"/>
      </top>
      <bottom style="medium">
        <color theme="2" tint="-0.89999084444715716"/>
      </bottom>
      <diagonal/>
    </border>
    <border>
      <left style="medium">
        <color theme="2" tint="-0.89999084444715716"/>
      </left>
      <right/>
      <top style="medium">
        <color theme="2" tint="-0.89999084444715716"/>
      </top>
      <bottom/>
      <diagonal/>
    </border>
    <border>
      <left/>
      <right/>
      <top style="medium">
        <color theme="2" tint="-0.89999084444715716"/>
      </top>
      <bottom/>
      <diagonal/>
    </border>
    <border>
      <left/>
      <right style="medium">
        <color theme="2" tint="-0.89999084444715716"/>
      </right>
      <top style="medium">
        <color theme="2" tint="-0.89999084444715716"/>
      </top>
      <bottom/>
      <diagonal/>
    </border>
    <border>
      <left style="medium">
        <color theme="2" tint="-0.89999084444715716"/>
      </left>
      <right/>
      <top/>
      <bottom style="medium">
        <color theme="2" tint="-0.89999084444715716"/>
      </bottom>
      <diagonal/>
    </border>
    <border>
      <left/>
      <right/>
      <top/>
      <bottom style="medium">
        <color theme="2" tint="-0.89999084444715716"/>
      </bottom>
      <diagonal/>
    </border>
    <border>
      <left/>
      <right style="medium">
        <color theme="2" tint="-0.89999084444715716"/>
      </right>
      <top/>
      <bottom style="medium">
        <color theme="2" tint="-0.89999084444715716"/>
      </bottom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164" fontId="1" fillId="0" borderId="11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10" fontId="1" fillId="0" borderId="1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5" fillId="3" borderId="24" xfId="0" applyNumberFormat="1" applyFont="1" applyFill="1" applyBorder="1" applyAlignment="1">
      <alignment horizontal="center"/>
    </xf>
    <xf numFmtId="164" fontId="5" fillId="3" borderId="27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164" fontId="1" fillId="3" borderId="41" xfId="0" applyNumberFormat="1" applyFon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164" fontId="1" fillId="3" borderId="35" xfId="0" applyNumberFormat="1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/>
    </xf>
    <xf numFmtId="0" fontId="7" fillId="4" borderId="38" xfId="1" applyFont="1" applyBorder="1" applyAlignment="1">
      <alignment horizontal="center"/>
    </xf>
    <xf numFmtId="0" fontId="8" fillId="5" borderId="28" xfId="1" applyFont="1" applyFill="1" applyBorder="1" applyAlignment="1">
      <alignment horizontal="center"/>
    </xf>
    <xf numFmtId="0" fontId="8" fillId="5" borderId="29" xfId="1" applyFont="1" applyFill="1" applyBorder="1" applyAlignment="1">
      <alignment horizontal="center"/>
    </xf>
    <xf numFmtId="0" fontId="8" fillId="5" borderId="30" xfId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7" fillId="4" borderId="36" xfId="1" applyFont="1" applyBorder="1" applyAlignment="1">
      <alignment horizontal="center"/>
    </xf>
    <xf numFmtId="0" fontId="7" fillId="4" borderId="37" xfId="1" applyFont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0" fontId="2" fillId="5" borderId="2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16384</xdr:col>
      <xdr:colOff>3019425</xdr:colOff>
      <xdr:row>17</xdr:row>
      <xdr:rowOff>228600</xdr:rowOff>
    </xdr:from>
    <xdr:to>
      <xdr:col>16384</xdr:col>
      <xdr:colOff>3971925</xdr:colOff>
      <xdr:row>22</xdr:row>
      <xdr:rowOff>47625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B47738F8-03A0-9153-1D5B-AF4390246D25}"/>
            </a:ext>
            <a:ext uri="{147F2762-F138-4A5C-976F-8EAC2B608ADB}">
              <a16:predDERef xmlns:a16="http://schemas.microsoft.com/office/drawing/2014/main" pred="{BDA63045-8C7F-64C2-780B-13946985E7A7}"/>
            </a:ext>
          </a:extLst>
        </xdr:cNvPr>
        <xdr:cNvSpPr/>
      </xdr:nvSpPr>
      <xdr:spPr>
        <a:xfrm>
          <a:off x="9515475" y="3448050"/>
          <a:ext cx="952500" cy="952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16384</xdr:col>
      <xdr:colOff>714375</xdr:colOff>
      <xdr:row>21</xdr:row>
      <xdr:rowOff>38100</xdr:rowOff>
    </xdr:from>
    <xdr:to>
      <xdr:col>16384</xdr:col>
      <xdr:colOff>1666875</xdr:colOff>
      <xdr:row>27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766D90B-43D3-3906-EE93-6A5ED0219BEA}"/>
            </a:ext>
            <a:ext uri="{147F2762-F138-4A5C-976F-8EAC2B608ADB}">
              <a16:predDERef xmlns:a16="http://schemas.microsoft.com/office/drawing/2014/main" pred="{A67AB64F-9253-D816-A99E-2AB871C4167C}"/>
            </a:ext>
          </a:extLst>
        </xdr:cNvPr>
        <xdr:cNvSpPr txBox="1"/>
      </xdr:nvSpPr>
      <xdr:spPr>
        <a:xfrm>
          <a:off x="6600825" y="4276725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228600</xdr:colOff>
      <xdr:row>0</xdr:row>
      <xdr:rowOff>9525</xdr:rowOff>
    </xdr:from>
    <xdr:to>
      <xdr:col>3</xdr:col>
      <xdr:colOff>847725</xdr:colOff>
      <xdr:row>2</xdr:row>
      <xdr:rowOff>85725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EFB632B-493D-2943-9007-CB978E35E8F4}"/>
            </a:ext>
            <a:ext uri="{147F2762-F138-4A5C-976F-8EAC2B608ADB}">
              <a16:predDERef xmlns:a16="http://schemas.microsoft.com/office/drawing/2014/main" pred="{6766D90B-43D3-3906-EE93-6A5ED0219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194" t="22500" r="1474" b="17500"/>
        <a:stretch>
          <a:fillRect/>
        </a:stretch>
      </xdr:blipFill>
      <xdr:spPr>
        <a:xfrm>
          <a:off x="228600" y="200025"/>
          <a:ext cx="38195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33"/>
  <sheetViews>
    <sheetView showGridLines="0" showRowColHeaders="0" tabSelected="1" workbookViewId="0">
      <selection activeCell="D12" sqref="D12"/>
    </sheetView>
  </sheetViews>
  <sheetFormatPr defaultColWidth="0" defaultRowHeight="15" x14ac:dyDescent="0.25"/>
  <cols>
    <col min="1" max="1" width="3.7109375" customWidth="1"/>
    <col min="2" max="2" width="16.140625" bestFit="1" customWidth="1"/>
    <col min="3" max="3" width="28.140625" bestFit="1" customWidth="1"/>
    <col min="4" max="4" width="13.85546875" bestFit="1" customWidth="1"/>
    <col min="5" max="5" width="3.28515625" customWidth="1"/>
    <col min="6" max="7" width="4.5703125" hidden="1" customWidth="1"/>
    <col min="8" max="12" width="9.140625" hidden="1" customWidth="1"/>
  </cols>
  <sheetData>
    <row r="3" spans="2:4" ht="9.75" customHeight="1" x14ac:dyDescent="0.25"/>
    <row r="4" spans="2:4" ht="26.25" x14ac:dyDescent="0.25">
      <c r="B4" s="50" t="s">
        <v>0</v>
      </c>
      <c r="C4" s="51"/>
      <c r="D4" s="52"/>
    </row>
    <row r="5" spans="2:4" ht="15.75" x14ac:dyDescent="0.25">
      <c r="B5" s="40" t="s">
        <v>1</v>
      </c>
      <c r="C5" s="41"/>
      <c r="D5" s="8">
        <v>3500</v>
      </c>
    </row>
    <row r="6" spans="2:4" ht="15.75" x14ac:dyDescent="0.25">
      <c r="B6" s="48" t="s">
        <v>2</v>
      </c>
      <c r="C6" s="49"/>
      <c r="D6" s="13">
        <v>8.8999999999999999E-3</v>
      </c>
    </row>
    <row r="7" spans="2:4" ht="15.75" x14ac:dyDescent="0.25">
      <c r="B7" s="31" t="s">
        <v>3</v>
      </c>
      <c r="C7" s="32"/>
      <c r="D7" s="14" cm="1">
        <f t="array" ref="D7">salario*30%</f>
        <v>1050</v>
      </c>
    </row>
    <row r="8" spans="2:4" ht="3.75" customHeight="1" x14ac:dyDescent="0.25"/>
    <row r="9" spans="2:4" ht="26.25" x14ac:dyDescent="0.25">
      <c r="B9" s="33" t="s">
        <v>4</v>
      </c>
      <c r="C9" s="34"/>
      <c r="D9" s="35"/>
    </row>
    <row r="10" spans="2:4" ht="15.75" x14ac:dyDescent="0.25">
      <c r="B10" s="53" t="s">
        <v>5</v>
      </c>
      <c r="C10" s="54"/>
      <c r="D10" s="8">
        <v>100</v>
      </c>
    </row>
    <row r="11" spans="2:4" ht="15" customHeight="1" x14ac:dyDescent="0.25">
      <c r="B11" s="42" t="s">
        <v>6</v>
      </c>
      <c r="C11" s="43"/>
      <c r="D11" s="9">
        <v>3</v>
      </c>
    </row>
    <row r="12" spans="2:4" ht="15" customHeight="1" x14ac:dyDescent="0.25">
      <c r="B12" s="44" t="s">
        <v>7</v>
      </c>
      <c r="C12" s="45"/>
      <c r="D12" s="10">
        <v>1.0789999999999999E-2</v>
      </c>
    </row>
    <row r="13" spans="2:4" ht="15" customHeight="1" x14ac:dyDescent="0.25">
      <c r="B13" s="40" t="s">
        <v>8</v>
      </c>
      <c r="C13" s="41"/>
      <c r="D13" s="11" cm="1">
        <f t="array" ref="D13">FV(taxa_mensal,qtd_anos*12,aporte*-1)</f>
        <v>4370.8374023022106</v>
      </c>
    </row>
    <row r="14" spans="2:4" ht="15" customHeight="1" x14ac:dyDescent="0.25">
      <c r="B14" s="31" t="s">
        <v>9</v>
      </c>
      <c r="C14" s="32"/>
      <c r="D14" s="12" cm="1">
        <f t="array" ref="D14">patrimonio*rendimento_carteira</f>
        <v>38.900452880489674</v>
      </c>
    </row>
    <row r="15" spans="2:4" ht="4.5" customHeight="1" x14ac:dyDescent="0.25"/>
    <row r="16" spans="2:4" ht="26.25" x14ac:dyDescent="0.25">
      <c r="B16" s="29" t="s">
        <v>10</v>
      </c>
      <c r="C16" s="30"/>
      <c r="D16" s="24" t="s">
        <v>11</v>
      </c>
    </row>
    <row r="17" spans="1:4" ht="15.75" x14ac:dyDescent="0.25">
      <c r="A17" s="1">
        <v>2</v>
      </c>
      <c r="B17" s="40" t="s">
        <v>12</v>
      </c>
      <c r="C17" s="41" cm="1">
        <f t="array" ref="C17">FV(taxa_mensal,$A17*12,aporte*-1)</f>
        <v>2722.7627297645217</v>
      </c>
      <c r="D17" s="15" cm="1">
        <f t="array" ref="D17">C17*rendimento_carteira</f>
        <v>24.232588294904243</v>
      </c>
    </row>
    <row r="18" spans="1:4" ht="15.75" x14ac:dyDescent="0.25">
      <c r="A18" s="1">
        <v>5</v>
      </c>
      <c r="B18" s="40" t="s">
        <v>13</v>
      </c>
      <c r="C18" s="41" cm="1">
        <f t="array" ref="C18">FV(taxa_mensal,$A18*12,aporte*-1)</f>
        <v>8377.6913998487635</v>
      </c>
      <c r="D18" s="15" cm="1">
        <f t="array" ref="D18">C18*rendimento_carteira</f>
        <v>74.561453458654</v>
      </c>
    </row>
    <row r="19" spans="1:4" ht="15.75" x14ac:dyDescent="0.25">
      <c r="A19" s="1">
        <v>10</v>
      </c>
      <c r="B19" s="40" t="s">
        <v>14</v>
      </c>
      <c r="C19" s="41" cm="1">
        <f t="array" ref="C19">FV(taxa_mensal,$A19*12,aporte*-1)</f>
        <v>24328.421253017219</v>
      </c>
      <c r="D19" s="15" cm="1">
        <f t="array" ref="D19">C19*rendimento_carteira</f>
        <v>216.52294915185325</v>
      </c>
    </row>
    <row r="20" spans="1:4" ht="15.75" x14ac:dyDescent="0.25">
      <c r="A20" s="1">
        <v>20</v>
      </c>
      <c r="B20" s="40" t="s">
        <v>15</v>
      </c>
      <c r="C20" s="41" cm="1">
        <f t="array" ref="C20">FV(taxa_mensal,$A20*12,aporte*-1)</f>
        <v>112519.84000970806</v>
      </c>
      <c r="D20" s="15" cm="1">
        <f t="array" ref="D20">C20*rendimento_carteira</f>
        <v>1001.4265760864017</v>
      </c>
    </row>
    <row r="21" spans="1:4" ht="15.75" x14ac:dyDescent="0.25">
      <c r="A21" s="1">
        <v>30</v>
      </c>
      <c r="B21" s="46" t="s">
        <v>16</v>
      </c>
      <c r="C21" s="47" cm="1">
        <f t="array" ref="C21">FV(taxa_mensal,$A21*12,aporte*-1)</f>
        <v>432216.96550047147</v>
      </c>
      <c r="D21" s="16" cm="1">
        <f t="array" ref="D21">C21*rendimento_carteira</f>
        <v>3846.7309929541962</v>
      </c>
    </row>
    <row r="22" spans="1:4" ht="4.5" customHeight="1" x14ac:dyDescent="0.25"/>
    <row r="23" spans="1:4" ht="15.75" x14ac:dyDescent="0.25">
      <c r="B23" s="36" t="s">
        <v>17</v>
      </c>
      <c r="C23" s="37"/>
      <c r="D23" s="25" t="s">
        <v>18</v>
      </c>
    </row>
    <row r="24" spans="1:4" x14ac:dyDescent="0.25">
      <c r="B24" s="38" t="s">
        <v>19</v>
      </c>
      <c r="C24" s="39"/>
      <c r="D24" s="19" cm="1">
        <f t="array" ref="D24">aporte</f>
        <v>100</v>
      </c>
    </row>
    <row r="25" spans="1:4" ht="4.5" customHeight="1" x14ac:dyDescent="0.25"/>
    <row r="26" spans="1:4" ht="15.75" x14ac:dyDescent="0.25">
      <c r="B26" s="26" t="s">
        <v>20</v>
      </c>
      <c r="C26" s="27" t="s">
        <v>21</v>
      </c>
      <c r="D26" s="28" t="s">
        <v>22</v>
      </c>
    </row>
    <row r="27" spans="1:4" x14ac:dyDescent="0.25">
      <c r="B27" s="17" t="s">
        <v>23</v>
      </c>
      <c r="C27" s="20">
        <f>VLOOKUP($D$23&amp;"-"&amp;B27,Apoio!$A:$D,4,FALSE)</f>
        <v>0.3</v>
      </c>
      <c r="D27" s="21">
        <f>C27*$D$24</f>
        <v>30</v>
      </c>
    </row>
    <row r="28" spans="1:4" x14ac:dyDescent="0.25">
      <c r="B28" s="17" t="s">
        <v>24</v>
      </c>
      <c r="C28" s="20">
        <f>VLOOKUP($D$23&amp;"-"&amp;B28,Apoio!$A:$D,4,FALSE)</f>
        <v>0.5</v>
      </c>
      <c r="D28" s="21">
        <f t="shared" ref="D28:D32" si="0">C28*$D$24</f>
        <v>50</v>
      </c>
    </row>
    <row r="29" spans="1:4" x14ac:dyDescent="0.25">
      <c r="B29" s="17" t="s">
        <v>25</v>
      </c>
      <c r="C29" s="20">
        <f>VLOOKUP($D$23&amp;"-"&amp;B29,Apoio!$A:$D,4,FALSE)</f>
        <v>0.1</v>
      </c>
      <c r="D29" s="21">
        <f t="shared" si="0"/>
        <v>10</v>
      </c>
    </row>
    <row r="30" spans="1:4" x14ac:dyDescent="0.25">
      <c r="B30" s="17" t="s">
        <v>26</v>
      </c>
      <c r="C30" s="20">
        <f>VLOOKUP($D$23&amp;"-"&amp;B30,Apoio!$A:$D,4,FALSE)</f>
        <v>0.1</v>
      </c>
      <c r="D30" s="21">
        <f t="shared" si="0"/>
        <v>10</v>
      </c>
    </row>
    <row r="31" spans="1:4" x14ac:dyDescent="0.25">
      <c r="B31" s="17" t="s">
        <v>27</v>
      </c>
      <c r="C31" s="20">
        <f>VLOOKUP($D$23&amp;"-"&amp;B31,Apoio!$A:$D,4,FALSE)</f>
        <v>0</v>
      </c>
      <c r="D31" s="21">
        <f t="shared" si="0"/>
        <v>0</v>
      </c>
    </row>
    <row r="32" spans="1:4" x14ac:dyDescent="0.25">
      <c r="B32" s="17" t="s">
        <v>28</v>
      </c>
      <c r="C32" s="20">
        <f>VLOOKUP($D$23&amp;"-"&amp;B32,Apoio!$A:$D,4,FALSE)</f>
        <v>0</v>
      </c>
      <c r="D32" s="21">
        <f t="shared" si="0"/>
        <v>0</v>
      </c>
    </row>
    <row r="33" spans="2:4" x14ac:dyDescent="0.25">
      <c r="B33" s="18" t="s">
        <v>29</v>
      </c>
      <c r="C33" s="22"/>
      <c r="D33" s="23">
        <f>SUM(D27:D32)</f>
        <v>100</v>
      </c>
    </row>
  </sheetData>
  <sheetProtection selectLockedCells="1"/>
  <mergeCells count="18">
    <mergeCell ref="B5:C5"/>
    <mergeCell ref="B6:C6"/>
    <mergeCell ref="B7:C7"/>
    <mergeCell ref="B4:D4"/>
    <mergeCell ref="B10:C10"/>
    <mergeCell ref="B16:C16"/>
    <mergeCell ref="B14:C14"/>
    <mergeCell ref="B9:D9"/>
    <mergeCell ref="B23:C23"/>
    <mergeCell ref="B24:C24"/>
    <mergeCell ref="B13:C13"/>
    <mergeCell ref="B11:C11"/>
    <mergeCell ref="B12:C12"/>
    <mergeCell ref="B21:C21"/>
    <mergeCell ref="B20:C20"/>
    <mergeCell ref="B17:C17"/>
    <mergeCell ref="B18:C18"/>
    <mergeCell ref="B19:C19"/>
  </mergeCells>
  <dataValidations count="1">
    <dataValidation type="list" allowBlank="1" showInputMessage="1" showErrorMessage="1" prompt="Selecione o perfil desejado" sqref="D23" xr:uid="{72DC39E7-4509-43BA-A358-21E2405D6BB7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E7E2-5EB8-4D12-A861-9C13F2CECFDA}">
  <dimension ref="A2:D20"/>
  <sheetViews>
    <sheetView showGridLines="0" showRowColHeaders="0" workbookViewId="0">
      <selection activeCell="A21" sqref="A21"/>
    </sheetView>
  </sheetViews>
  <sheetFormatPr defaultRowHeight="15" x14ac:dyDescent="0.25"/>
  <cols>
    <col min="1" max="1" width="28.140625" bestFit="1" customWidth="1"/>
    <col min="2" max="2" width="12.140625" bestFit="1" customWidth="1"/>
    <col min="3" max="3" width="16.140625" bestFit="1" customWidth="1"/>
    <col min="4" max="4" width="5" bestFit="1" customWidth="1"/>
  </cols>
  <sheetData>
    <row r="2" spans="1:4" x14ac:dyDescent="0.25">
      <c r="A2" s="2" t="s">
        <v>30</v>
      </c>
      <c r="B2" s="2" t="s">
        <v>17</v>
      </c>
      <c r="C2" s="2" t="s">
        <v>20</v>
      </c>
      <c r="D2" s="2" t="s">
        <v>31</v>
      </c>
    </row>
    <row r="3" spans="1:4" x14ac:dyDescent="0.25">
      <c r="A3" s="2" t="str">
        <f>Apoio!B3&amp;"-"&amp;Apoio!C3</f>
        <v>Conservador-Papel</v>
      </c>
      <c r="B3" s="2" t="s">
        <v>18</v>
      </c>
      <c r="C3" s="2" t="s">
        <v>23</v>
      </c>
      <c r="D3" s="3">
        <v>0.3</v>
      </c>
    </row>
    <row r="4" spans="1:4" x14ac:dyDescent="0.25">
      <c r="A4" s="2" t="str">
        <f>Apoio!B4&amp;"-"&amp;Apoio!C4</f>
        <v>Conservador-Tijolo</v>
      </c>
      <c r="B4" s="2" t="s">
        <v>18</v>
      </c>
      <c r="C4" s="2" t="s">
        <v>24</v>
      </c>
      <c r="D4" s="3">
        <v>0.5</v>
      </c>
    </row>
    <row r="5" spans="1:4" x14ac:dyDescent="0.25">
      <c r="A5" s="2" t="str">
        <f>Apoio!B5&amp;"-"&amp;Apoio!C5</f>
        <v>Conservador-Híbridos</v>
      </c>
      <c r="B5" s="2" t="s">
        <v>18</v>
      </c>
      <c r="C5" s="2" t="s">
        <v>25</v>
      </c>
      <c r="D5" s="3">
        <v>0.1</v>
      </c>
    </row>
    <row r="6" spans="1:4" x14ac:dyDescent="0.25">
      <c r="A6" s="2" t="str">
        <f>Apoio!B6&amp;"-"&amp;Apoio!C6</f>
        <v>Conservador-FOFs</v>
      </c>
      <c r="B6" s="2" t="s">
        <v>18</v>
      </c>
      <c r="C6" s="2" t="s">
        <v>26</v>
      </c>
      <c r="D6" s="3">
        <v>0.1</v>
      </c>
    </row>
    <row r="7" spans="1:4" x14ac:dyDescent="0.25">
      <c r="A7" s="2" t="str">
        <f>Apoio!B7&amp;"-"&amp;Apoio!C7</f>
        <v>Conservador-Desenvolvimento</v>
      </c>
      <c r="B7" s="2" t="s">
        <v>18</v>
      </c>
      <c r="C7" s="2" t="s">
        <v>27</v>
      </c>
      <c r="D7" s="3">
        <v>0</v>
      </c>
    </row>
    <row r="8" spans="1:4" x14ac:dyDescent="0.25">
      <c r="A8" s="4" t="str">
        <f>Apoio!B8&amp;"-"&amp;Apoio!C8</f>
        <v>Conservador-Hotelaria</v>
      </c>
      <c r="B8" s="4" t="s">
        <v>18</v>
      </c>
      <c r="C8" s="4" t="s">
        <v>28</v>
      </c>
      <c r="D8" s="5">
        <v>0</v>
      </c>
    </row>
    <row r="9" spans="1:4" x14ac:dyDescent="0.25">
      <c r="A9" s="2" t="str">
        <f>B9&amp;"-"&amp;C9</f>
        <v>Moderado-Papel</v>
      </c>
      <c r="B9" s="2" t="s">
        <v>32</v>
      </c>
      <c r="C9" s="2" t="s">
        <v>23</v>
      </c>
      <c r="D9" s="3">
        <v>0.32</v>
      </c>
    </row>
    <row r="10" spans="1:4" x14ac:dyDescent="0.25">
      <c r="A10" s="2" t="str">
        <f t="shared" ref="A10:A14" si="0">B10&amp;"-"&amp;C10</f>
        <v>Moderado-Tijolo</v>
      </c>
      <c r="B10" s="2" t="s">
        <v>32</v>
      </c>
      <c r="C10" s="2" t="s">
        <v>24</v>
      </c>
      <c r="D10" s="3">
        <v>0.35</v>
      </c>
    </row>
    <row r="11" spans="1:4" x14ac:dyDescent="0.25">
      <c r="A11" s="2" t="str">
        <f t="shared" si="0"/>
        <v>Moderado-Híbridos</v>
      </c>
      <c r="B11" s="2" t="s">
        <v>32</v>
      </c>
      <c r="C11" s="2" t="s">
        <v>25</v>
      </c>
      <c r="D11" s="3">
        <v>0.08</v>
      </c>
    </row>
    <row r="12" spans="1:4" x14ac:dyDescent="0.25">
      <c r="A12" s="2" t="str">
        <f t="shared" si="0"/>
        <v>Moderado-FOFs</v>
      </c>
      <c r="B12" s="2" t="s">
        <v>32</v>
      </c>
      <c r="C12" s="2" t="s">
        <v>26</v>
      </c>
      <c r="D12" s="3">
        <v>0.05</v>
      </c>
    </row>
    <row r="13" spans="1:4" x14ac:dyDescent="0.25">
      <c r="A13" s="2" t="str">
        <f t="shared" si="0"/>
        <v>Moderado-Desenvolvimento</v>
      </c>
      <c r="B13" s="2" t="s">
        <v>32</v>
      </c>
      <c r="C13" s="2" t="s">
        <v>27</v>
      </c>
      <c r="D13" s="3">
        <v>0.1</v>
      </c>
    </row>
    <row r="14" spans="1:4" x14ac:dyDescent="0.25">
      <c r="A14" s="6" t="str">
        <f t="shared" si="0"/>
        <v>Moderado-Hotelaria</v>
      </c>
      <c r="B14" s="6" t="s">
        <v>32</v>
      </c>
      <c r="C14" s="6" t="s">
        <v>28</v>
      </c>
      <c r="D14" s="7">
        <v>0.1</v>
      </c>
    </row>
    <row r="15" spans="1:4" x14ac:dyDescent="0.25">
      <c r="A15" s="2" t="str">
        <f>B15&amp;"-"&amp;C15</f>
        <v>Agressivo-Papel</v>
      </c>
      <c r="B15" s="2" t="s">
        <v>33</v>
      </c>
      <c r="C15" s="2" t="s">
        <v>23</v>
      </c>
      <c r="D15" s="3">
        <v>0.5</v>
      </c>
    </row>
    <row r="16" spans="1:4" x14ac:dyDescent="0.25">
      <c r="A16" s="2" t="str">
        <f t="shared" ref="A16:A20" si="1">B16&amp;"-"&amp;C16</f>
        <v>Agressivo-Tijolo</v>
      </c>
      <c r="B16" s="2" t="s">
        <v>33</v>
      </c>
      <c r="C16" s="2" t="s">
        <v>24</v>
      </c>
      <c r="D16" s="3">
        <v>0.1</v>
      </c>
    </row>
    <row r="17" spans="1:4" x14ac:dyDescent="0.25">
      <c r="A17" s="2" t="str">
        <f t="shared" si="1"/>
        <v>Agressivo-Híbridos</v>
      </c>
      <c r="B17" s="2" t="s">
        <v>33</v>
      </c>
      <c r="C17" s="2" t="s">
        <v>25</v>
      </c>
      <c r="D17" s="3">
        <v>0.05</v>
      </c>
    </row>
    <row r="18" spans="1:4" x14ac:dyDescent="0.25">
      <c r="A18" s="2" t="str">
        <f t="shared" si="1"/>
        <v>Agressivo-FOFs</v>
      </c>
      <c r="B18" s="2" t="s">
        <v>33</v>
      </c>
      <c r="C18" s="2" t="s">
        <v>26</v>
      </c>
      <c r="D18" s="3">
        <v>0.05</v>
      </c>
    </row>
    <row r="19" spans="1:4" x14ac:dyDescent="0.25">
      <c r="A19" s="2" t="str">
        <f t="shared" si="1"/>
        <v>Agressivo-Desenvolvimento</v>
      </c>
      <c r="B19" s="2" t="s">
        <v>33</v>
      </c>
      <c r="C19" s="2" t="s">
        <v>27</v>
      </c>
      <c r="D19" s="3">
        <v>0.2</v>
      </c>
    </row>
    <row r="20" spans="1:4" x14ac:dyDescent="0.25">
      <c r="A20" s="2" t="str">
        <f t="shared" si="1"/>
        <v>Agressivo-Hotelaria</v>
      </c>
      <c r="B20" s="2" t="s">
        <v>33</v>
      </c>
      <c r="C20" s="2" t="s">
        <v>28</v>
      </c>
      <c r="D20" s="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Principal</vt:lpstr>
      <vt:lpstr>Apoio</vt:lpstr>
      <vt:lpstr>aporte</vt:lpstr>
      <vt:lpstr>dividendos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Gisele Alves Barbosa</cp:lastModifiedBy>
  <cp:revision/>
  <dcterms:created xsi:type="dcterms:W3CDTF">2026-09-23T16:30:46Z</dcterms:created>
  <dcterms:modified xsi:type="dcterms:W3CDTF">2026-10-18T23:02:55Z</dcterms:modified>
  <cp:category/>
  <cp:contentStatus/>
</cp:coreProperties>
</file>